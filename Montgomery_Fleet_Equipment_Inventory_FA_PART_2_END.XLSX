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ifei/Documents/"/>
    </mc:Choice>
  </mc:AlternateContent>
  <xr:revisionPtr revIDLastSave="0" documentId="8_{5F5E42D2-99A7-5346-9769-E0FE1EF403D0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Pivot1" sheetId="3" r:id="rId1"/>
    <sheet name="Pivot2" sheetId="7" r:id="rId2"/>
    <sheet name="Pivot3" sheetId="8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<sst xmlns="http://schemas.openxmlformats.org/spreadsheetml/2006/main" count="165" uniqueCount="37">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</sst>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ifei Li" refreshedDate="45665.631049305557" createdVersion="8" refreshedVersion="8" minRefreshableVersion="3" recordCount="49" xr:uid="{A4946332-0961-AF42-8428-2E72A86AAFF7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65094-437D-F947-BD5C-1FE30CEED124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83AD3-C89F-024C-9620-B6F8C98E8FC0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 sortType="descending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22">
    <i>
      <x/>
    </i>
    <i r="1">
      <x v="12"/>
    </i>
    <i r="1">
      <x v="3"/>
    </i>
    <i r="1">
      <x v="1"/>
    </i>
    <i r="1">
      <x v="2"/>
    </i>
    <i r="1">
      <x v="4"/>
    </i>
    <i r="1">
      <x v="11"/>
    </i>
    <i r="1">
      <x v="10"/>
    </i>
    <i r="1">
      <x v="13"/>
    </i>
    <i r="1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66D50-31C7-CE4D-A364-5BC18C9A1808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4DB13-AADA-7643-9DF3-270378CCE89E}" name="Table1" displayName="Table1" ref="A1:C50" totalsRowShown="0">
  <autoFilter ref="A1:C50" xr:uid="{F6B4DB13-AADA-7643-9DF3-270378CCE89E}"/>
  <tableColumns count="3">
    <tableColumn id="1" xr3:uid="{4B43AB0D-1B27-3540-8E95-1DC73C087ECD}" name="Department"/>
    <tableColumn id="2" xr3:uid="{1F249009-206C-8C48-B48B-DF5DB55E4ACE}" name="Equipment Class"/>
    <tableColumn id="3" xr3:uid="{8531F020-82BA-544B-96B1-48FEC479F302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7310-7BC4-234E-9440-C822169CB652}">
  <dimension ref="A3:B16"/>
  <sheetViews>
    <sheetView workbookViewId="0">
      <selection activeCell="B4" sqref="B4"/>
    </sheetView>
  </sheetViews>
  <sheetFormatPr baseColWidth="10" defaultRowHeight="15" x14ac:dyDescent="0.2"/>
  <cols>
    <col min="1" max="1" width="25.1640625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>
        <v>1221</v>
      </c>
    </row>
    <row r="5" spans="1:2" x14ac:dyDescent="0.2">
      <c r="A5" s="2" t="s">
        <v>15</v>
      </c>
      <c r="B5">
        <v>109</v>
      </c>
    </row>
    <row r="6" spans="1:2" x14ac:dyDescent="0.2">
      <c r="A6" s="2" t="s">
        <v>19</v>
      </c>
      <c r="B6">
        <v>85</v>
      </c>
    </row>
    <row r="7" spans="1:2" x14ac:dyDescent="0.2">
      <c r="A7" s="2" t="s">
        <v>12</v>
      </c>
      <c r="B7">
        <v>56</v>
      </c>
    </row>
    <row r="8" spans="1:2" x14ac:dyDescent="0.2">
      <c r="A8" s="2" t="s">
        <v>5</v>
      </c>
      <c r="B8">
        <v>45</v>
      </c>
    </row>
    <row r="9" spans="1:2" x14ac:dyDescent="0.2">
      <c r="A9" s="2" t="s">
        <v>18</v>
      </c>
      <c r="B9">
        <v>35</v>
      </c>
    </row>
    <row r="10" spans="1:2" x14ac:dyDescent="0.2">
      <c r="A10" s="2" t="s">
        <v>25</v>
      </c>
      <c r="B10">
        <v>16</v>
      </c>
    </row>
    <row r="11" spans="1:2" x14ac:dyDescent="0.2">
      <c r="A11" s="2" t="s">
        <v>9</v>
      </c>
      <c r="B11">
        <v>6</v>
      </c>
    </row>
    <row r="12" spans="1:2" x14ac:dyDescent="0.2">
      <c r="A12" s="2" t="s">
        <v>24</v>
      </c>
      <c r="B12">
        <v>5</v>
      </c>
    </row>
    <row r="13" spans="1:2" x14ac:dyDescent="0.2">
      <c r="A13" s="2" t="s">
        <v>8</v>
      </c>
      <c r="B13">
        <v>2</v>
      </c>
    </row>
    <row r="14" spans="1:2" x14ac:dyDescent="0.2">
      <c r="A14" s="2" t="s">
        <v>14</v>
      </c>
      <c r="B14">
        <v>1</v>
      </c>
    </row>
    <row r="15" spans="1:2" x14ac:dyDescent="0.2">
      <c r="A15" s="2" t="s">
        <v>17</v>
      </c>
      <c r="B15">
        <v>1</v>
      </c>
    </row>
    <row r="16" spans="1:2" x14ac:dyDescent="0.2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9424-726A-064B-A0FA-30B345F45C1E}">
  <dimension ref="A3:B25"/>
  <sheetViews>
    <sheetView tabSelected="1" workbookViewId="0">
      <selection activeCell="A3" sqref="A3"/>
    </sheetView>
  </sheetViews>
  <sheetFormatPr baseColWidth="10" defaultRowHeight="15" x14ac:dyDescent="0.2"/>
  <cols>
    <col min="1" max="1" width="27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 s="4">
        <v>1221</v>
      </c>
    </row>
    <row r="5" spans="1:2" x14ac:dyDescent="0.2">
      <c r="A5" s="3" t="s">
        <v>27</v>
      </c>
      <c r="B5" s="4">
        <v>379</v>
      </c>
    </row>
    <row r="6" spans="1:2" x14ac:dyDescent="0.2">
      <c r="A6" s="3" t="s">
        <v>28</v>
      </c>
      <c r="B6" s="4">
        <v>276</v>
      </c>
    </row>
    <row r="7" spans="1:2" x14ac:dyDescent="0.2">
      <c r="A7" s="3" t="s">
        <v>13</v>
      </c>
      <c r="B7" s="4">
        <v>248</v>
      </c>
    </row>
    <row r="8" spans="1:2" x14ac:dyDescent="0.2">
      <c r="A8" s="3" t="s">
        <v>11</v>
      </c>
      <c r="B8" s="4">
        <v>98</v>
      </c>
    </row>
    <row r="9" spans="1:2" x14ac:dyDescent="0.2">
      <c r="A9" s="3" t="s">
        <v>6</v>
      </c>
      <c r="B9" s="4">
        <v>93</v>
      </c>
    </row>
    <row r="10" spans="1:2" x14ac:dyDescent="0.2">
      <c r="A10" s="3" t="s">
        <v>7</v>
      </c>
      <c r="B10" s="4">
        <v>53</v>
      </c>
    </row>
    <row r="11" spans="1:2" x14ac:dyDescent="0.2">
      <c r="A11" s="3" t="s">
        <v>4</v>
      </c>
      <c r="B11" s="4">
        <v>37</v>
      </c>
    </row>
    <row r="12" spans="1:2" x14ac:dyDescent="0.2">
      <c r="A12" s="3" t="s">
        <v>10</v>
      </c>
      <c r="B12" s="4">
        <v>32</v>
      </c>
    </row>
    <row r="13" spans="1:2" x14ac:dyDescent="0.2">
      <c r="A13" s="3" t="s">
        <v>16</v>
      </c>
      <c r="B13" s="4">
        <v>5</v>
      </c>
    </row>
    <row r="14" spans="1:2" x14ac:dyDescent="0.2">
      <c r="A14" s="2" t="s">
        <v>25</v>
      </c>
      <c r="B14" s="4">
        <v>16</v>
      </c>
    </row>
    <row r="15" spans="1:2" x14ac:dyDescent="0.2">
      <c r="A15" s="2" t="s">
        <v>24</v>
      </c>
      <c r="B15" s="4">
        <v>5</v>
      </c>
    </row>
    <row r="16" spans="1:2" x14ac:dyDescent="0.2">
      <c r="A16" s="2" t="s">
        <v>19</v>
      </c>
      <c r="B16" s="4">
        <v>85</v>
      </c>
    </row>
    <row r="17" spans="1:2" x14ac:dyDescent="0.2">
      <c r="A17" s="2" t="s">
        <v>18</v>
      </c>
      <c r="B17" s="4">
        <v>35</v>
      </c>
    </row>
    <row r="18" spans="1:2" x14ac:dyDescent="0.2">
      <c r="A18" s="2" t="s">
        <v>17</v>
      </c>
      <c r="B18" s="4">
        <v>1</v>
      </c>
    </row>
    <row r="19" spans="1:2" x14ac:dyDescent="0.2">
      <c r="A19" s="2" t="s">
        <v>15</v>
      </c>
      <c r="B19" s="4">
        <v>109</v>
      </c>
    </row>
    <row r="20" spans="1:2" x14ac:dyDescent="0.2">
      <c r="A20" s="2" t="s">
        <v>14</v>
      </c>
      <c r="B20" s="4">
        <v>1</v>
      </c>
    </row>
    <row r="21" spans="1:2" x14ac:dyDescent="0.2">
      <c r="A21" s="2" t="s">
        <v>12</v>
      </c>
      <c r="B21" s="4">
        <v>56</v>
      </c>
    </row>
    <row r="22" spans="1:2" x14ac:dyDescent="0.2">
      <c r="A22" s="2" t="s">
        <v>9</v>
      </c>
      <c r="B22" s="4">
        <v>6</v>
      </c>
    </row>
    <row r="23" spans="1:2" x14ac:dyDescent="0.2">
      <c r="A23" s="2" t="s">
        <v>8</v>
      </c>
      <c r="B23" s="4">
        <v>2</v>
      </c>
    </row>
    <row r="24" spans="1:2" x14ac:dyDescent="0.2">
      <c r="A24" s="2" t="s">
        <v>5</v>
      </c>
      <c r="B24" s="4">
        <v>45</v>
      </c>
    </row>
    <row r="25" spans="1:2" x14ac:dyDescent="0.2">
      <c r="A25" s="2" t="s">
        <v>35</v>
      </c>
      <c r="B2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D740-A6A0-8A41-A303-3BCD56DAE781}">
  <dimension ref="A3:B21"/>
  <sheetViews>
    <sheetView workbookViewId="0">
      <selection activeCell="B5" sqref="B5"/>
    </sheetView>
  </sheetViews>
  <sheetFormatPr baseColWidth="10" defaultRowHeight="15" x14ac:dyDescent="0.2"/>
  <cols>
    <col min="1" max="1" width="24.6640625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16</v>
      </c>
      <c r="B4">
        <v>15</v>
      </c>
    </row>
    <row r="5" spans="1:2" x14ac:dyDescent="0.2">
      <c r="A5" s="3" t="s">
        <v>15</v>
      </c>
      <c r="B5">
        <v>9</v>
      </c>
    </row>
    <row r="6" spans="1:2" x14ac:dyDescent="0.2">
      <c r="A6" s="3" t="s">
        <v>26</v>
      </c>
      <c r="B6">
        <v>5</v>
      </c>
    </row>
    <row r="7" spans="1:2" x14ac:dyDescent="0.2">
      <c r="A7" s="3" t="s">
        <v>25</v>
      </c>
      <c r="B7">
        <v>1</v>
      </c>
    </row>
    <row r="8" spans="1:2" x14ac:dyDescent="0.2">
      <c r="A8" s="2" t="s">
        <v>13</v>
      </c>
      <c r="B8">
        <v>290</v>
      </c>
    </row>
    <row r="9" spans="1:2" x14ac:dyDescent="0.2">
      <c r="A9" s="2" t="s">
        <v>11</v>
      </c>
      <c r="B9">
        <v>100</v>
      </c>
    </row>
    <row r="10" spans="1:2" x14ac:dyDescent="0.2">
      <c r="A10" s="2" t="s">
        <v>28</v>
      </c>
      <c r="B10">
        <v>283</v>
      </c>
    </row>
    <row r="11" spans="1:2" x14ac:dyDescent="0.2">
      <c r="A11" s="2" t="s">
        <v>6</v>
      </c>
      <c r="B11">
        <v>150</v>
      </c>
    </row>
    <row r="12" spans="1:2" x14ac:dyDescent="0.2">
      <c r="A12" s="2" t="s">
        <v>21</v>
      </c>
      <c r="B12">
        <v>4</v>
      </c>
    </row>
    <row r="13" spans="1:2" x14ac:dyDescent="0.2">
      <c r="A13" s="2" t="s">
        <v>23</v>
      </c>
      <c r="B13">
        <v>1</v>
      </c>
    </row>
    <row r="14" spans="1:2" x14ac:dyDescent="0.2">
      <c r="A14" s="2" t="s">
        <v>22</v>
      </c>
      <c r="B14">
        <v>47</v>
      </c>
    </row>
    <row r="15" spans="1:2" x14ac:dyDescent="0.2">
      <c r="A15" s="2" t="s">
        <v>3</v>
      </c>
      <c r="B15">
        <v>20</v>
      </c>
    </row>
    <row r="16" spans="1:2" x14ac:dyDescent="0.2">
      <c r="A16" s="2" t="s">
        <v>20</v>
      </c>
      <c r="B16">
        <v>8</v>
      </c>
    </row>
    <row r="17" spans="1:2" x14ac:dyDescent="0.2">
      <c r="A17" s="2" t="s">
        <v>4</v>
      </c>
      <c r="B17">
        <v>130</v>
      </c>
    </row>
    <row r="18" spans="1:2" x14ac:dyDescent="0.2">
      <c r="A18" s="2" t="s">
        <v>7</v>
      </c>
      <c r="B18">
        <v>90</v>
      </c>
    </row>
    <row r="19" spans="1:2" x14ac:dyDescent="0.2">
      <c r="A19" s="2" t="s">
        <v>27</v>
      </c>
      <c r="B19">
        <v>379</v>
      </c>
    </row>
    <row r="20" spans="1:2" x14ac:dyDescent="0.2">
      <c r="A20" s="2" t="s">
        <v>10</v>
      </c>
      <c r="B20">
        <v>65</v>
      </c>
    </row>
    <row r="21" spans="1:2" x14ac:dyDescent="0.2">
      <c r="A21" s="2" t="s">
        <v>35</v>
      </c>
      <c r="B21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2" workbookViewId="0">
      <selection activeCell="G22" sqref="G22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83203125" customWidth="1"/>
    <col min="7" max="7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6</v>
      </c>
      <c r="C2">
        <v>21</v>
      </c>
    </row>
    <row r="3" spans="1:3" x14ac:dyDescent="0.2">
      <c r="A3" t="s">
        <v>5</v>
      </c>
      <c r="B3" t="s">
        <v>7</v>
      </c>
      <c r="C3">
        <v>1</v>
      </c>
    </row>
    <row r="4" spans="1:3" x14ac:dyDescent="0.2">
      <c r="A4" t="s">
        <v>5</v>
      </c>
      <c r="B4" t="s">
        <v>4</v>
      </c>
      <c r="C4">
        <v>23</v>
      </c>
    </row>
    <row r="5" spans="1:3" x14ac:dyDescent="0.2">
      <c r="A5" t="s">
        <v>8</v>
      </c>
      <c r="B5" t="s">
        <v>4</v>
      </c>
      <c r="C5">
        <v>2</v>
      </c>
    </row>
    <row r="6" spans="1:3" x14ac:dyDescent="0.2">
      <c r="A6" t="s">
        <v>9</v>
      </c>
      <c r="B6" t="s">
        <v>6</v>
      </c>
      <c r="C6">
        <v>3</v>
      </c>
    </row>
    <row r="7" spans="1:3" x14ac:dyDescent="0.2">
      <c r="A7" t="s">
        <v>9</v>
      </c>
      <c r="B7" t="s">
        <v>10</v>
      </c>
      <c r="C7">
        <v>2</v>
      </c>
    </row>
    <row r="8" spans="1:3" x14ac:dyDescent="0.2">
      <c r="A8" t="s">
        <v>9</v>
      </c>
      <c r="B8" t="s">
        <v>11</v>
      </c>
      <c r="C8">
        <v>1</v>
      </c>
    </row>
    <row r="9" spans="1:3" x14ac:dyDescent="0.2">
      <c r="A9" t="s">
        <v>12</v>
      </c>
      <c r="B9" t="s">
        <v>10</v>
      </c>
      <c r="C9">
        <v>2</v>
      </c>
    </row>
    <row r="10" spans="1:3" x14ac:dyDescent="0.2">
      <c r="A10" t="s">
        <v>12</v>
      </c>
      <c r="B10" t="s">
        <v>13</v>
      </c>
      <c r="C10">
        <v>42</v>
      </c>
    </row>
    <row r="11" spans="1:3" x14ac:dyDescent="0.2">
      <c r="A11" t="s">
        <v>12</v>
      </c>
      <c r="B11" t="s">
        <v>7</v>
      </c>
      <c r="C11">
        <v>1</v>
      </c>
    </row>
    <row r="12" spans="1:3" x14ac:dyDescent="0.2">
      <c r="A12" t="s">
        <v>12</v>
      </c>
      <c r="B12" t="s">
        <v>4</v>
      </c>
      <c r="C12">
        <v>11</v>
      </c>
    </row>
    <row r="13" spans="1:3" x14ac:dyDescent="0.2">
      <c r="A13" t="s">
        <v>14</v>
      </c>
      <c r="B13" t="s">
        <v>7</v>
      </c>
      <c r="C13">
        <v>1</v>
      </c>
    </row>
    <row r="14" spans="1:3" x14ac:dyDescent="0.2">
      <c r="A14" t="s">
        <v>15</v>
      </c>
      <c r="B14" t="s">
        <v>16</v>
      </c>
      <c r="C14">
        <v>9</v>
      </c>
    </row>
    <row r="15" spans="1:3" x14ac:dyDescent="0.2">
      <c r="A15" t="s">
        <v>15</v>
      </c>
      <c r="B15" t="s">
        <v>7</v>
      </c>
      <c r="C15">
        <v>27</v>
      </c>
    </row>
    <row r="16" spans="1:3" x14ac:dyDescent="0.2">
      <c r="A16" t="s">
        <v>15</v>
      </c>
      <c r="B16" t="s">
        <v>6</v>
      </c>
      <c r="C16">
        <v>24</v>
      </c>
    </row>
    <row r="17" spans="1:7" x14ac:dyDescent="0.2">
      <c r="A17" t="s">
        <v>15</v>
      </c>
      <c r="B17" t="s">
        <v>10</v>
      </c>
      <c r="C17">
        <v>1</v>
      </c>
    </row>
    <row r="18" spans="1:7" x14ac:dyDescent="0.2">
      <c r="A18" t="s">
        <v>15</v>
      </c>
      <c r="B18" t="s">
        <v>4</v>
      </c>
      <c r="C18">
        <v>48</v>
      </c>
      <c r="F18" t="s">
        <v>29</v>
      </c>
      <c r="G18">
        <f>SUM(Table1[Equipment Count])</f>
        <v>1582</v>
      </c>
    </row>
    <row r="19" spans="1:7" x14ac:dyDescent="0.2">
      <c r="A19" t="s">
        <v>17</v>
      </c>
      <c r="B19" t="s">
        <v>10</v>
      </c>
      <c r="C19">
        <v>1</v>
      </c>
      <c r="F19" t="s">
        <v>30</v>
      </c>
      <c r="G19">
        <f>AVERAGE(Table1[Equipment Count])</f>
        <v>32.285714285714285</v>
      </c>
    </row>
    <row r="20" spans="1:7" x14ac:dyDescent="0.2">
      <c r="A20" t="s">
        <v>18</v>
      </c>
      <c r="B20" t="s">
        <v>4</v>
      </c>
      <c r="C20">
        <v>6</v>
      </c>
      <c r="F20" t="s">
        <v>31</v>
      </c>
      <c r="G20">
        <f>MIN(Table1[Equipment Count])</f>
        <v>1</v>
      </c>
    </row>
    <row r="21" spans="1:7" x14ac:dyDescent="0.2">
      <c r="A21" t="s">
        <v>18</v>
      </c>
      <c r="B21" t="s">
        <v>6</v>
      </c>
      <c r="C21">
        <v>5</v>
      </c>
      <c r="F21" t="s">
        <v>32</v>
      </c>
      <c r="G21">
        <f>MAX(Table1[Equipment Count])</f>
        <v>379</v>
      </c>
    </row>
    <row r="22" spans="1:7" x14ac:dyDescent="0.2">
      <c r="A22" t="s">
        <v>18</v>
      </c>
      <c r="B22" t="s">
        <v>7</v>
      </c>
      <c r="C22">
        <v>2</v>
      </c>
      <c r="F22" t="s">
        <v>33</v>
      </c>
      <c r="G22">
        <f>COUNT(Table1[Equipment Count])</f>
        <v>49</v>
      </c>
    </row>
    <row r="23" spans="1:7" x14ac:dyDescent="0.2">
      <c r="A23" t="s">
        <v>18</v>
      </c>
      <c r="B23" t="s">
        <v>10</v>
      </c>
      <c r="C23">
        <v>15</v>
      </c>
    </row>
    <row r="24" spans="1:7" x14ac:dyDescent="0.2">
      <c r="A24" t="s">
        <v>18</v>
      </c>
      <c r="B24" t="s">
        <v>28</v>
      </c>
      <c r="C24">
        <v>7</v>
      </c>
    </row>
    <row r="25" spans="1:7" x14ac:dyDescent="0.2">
      <c r="A25" t="s">
        <v>19</v>
      </c>
      <c r="B25" t="s">
        <v>3</v>
      </c>
      <c r="C25">
        <v>20</v>
      </c>
    </row>
    <row r="26" spans="1:7" x14ac:dyDescent="0.2">
      <c r="A26" t="s">
        <v>19</v>
      </c>
      <c r="B26" t="s">
        <v>4</v>
      </c>
      <c r="C26">
        <v>1</v>
      </c>
    </row>
    <row r="27" spans="1:7" x14ac:dyDescent="0.2">
      <c r="A27" t="s">
        <v>19</v>
      </c>
      <c r="B27" t="s">
        <v>11</v>
      </c>
      <c r="C27">
        <v>1</v>
      </c>
    </row>
    <row r="28" spans="1:7" x14ac:dyDescent="0.2">
      <c r="A28" t="s">
        <v>19</v>
      </c>
      <c r="B28" t="s">
        <v>6</v>
      </c>
      <c r="C28">
        <v>3</v>
      </c>
    </row>
    <row r="29" spans="1:7" x14ac:dyDescent="0.2">
      <c r="A29" t="s">
        <v>19</v>
      </c>
      <c r="B29" t="s">
        <v>7</v>
      </c>
      <c r="C29">
        <v>1</v>
      </c>
    </row>
    <row r="30" spans="1:7" x14ac:dyDescent="0.2">
      <c r="A30" t="s">
        <v>19</v>
      </c>
      <c r="B30" t="s">
        <v>20</v>
      </c>
      <c r="C30">
        <v>8</v>
      </c>
    </row>
    <row r="31" spans="1:7" x14ac:dyDescent="0.2">
      <c r="A31" t="s">
        <v>19</v>
      </c>
      <c r="B31" t="s">
        <v>21</v>
      </c>
      <c r="C31">
        <v>4</v>
      </c>
    </row>
    <row r="32" spans="1:7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Feifei</cp:lastModifiedBy>
  <dcterms:created xsi:type="dcterms:W3CDTF">2020-09-01T17:18:12Z</dcterms:created>
  <dcterms:modified xsi:type="dcterms:W3CDTF">2025-01-09T00:01:04Z</dcterms:modified>
</cp:coreProperties>
</file>